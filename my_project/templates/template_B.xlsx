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<sst xmlns="http://schemas.openxmlformats.org/spreadsheetml/2006/main" count="71" uniqueCount="62">
  <si>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</si>
  <si>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</si>
  <si>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</si>
  <si>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</si>
  <si>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</si>
  <si>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</si>
  <si>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</si>
  <si>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▎ 임대자산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</si>
  <si>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</si>
  <si>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</si>
  <si>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</si>
  <si>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</si>
  <si>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</si>
  <si>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</si>
  <si>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</si>
  <si>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</si>
  <si>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</si>
  <si>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</si>
  <si>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</si>
  <si>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</si>
  <si>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</si>
  <si>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</si>
  <si>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</si>
  <si>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</si>
  <si>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</si>
  <si>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</si>
  <si>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</si>
  <si>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</si>
  <si>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</si>
  <si>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▎ 자산 보관 현황</t>
  </si>
  <si>
    <t>▎ 자산별 현황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</si>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</sst>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8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6" fillId="3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1"/>
                <c:pt idx="0">
                  <c:v>'25.02</c:v>
                </c:pt>
                <c:pt idx="1">
                  <c:v>'25.03</c:v>
                </c:pt>
                <c:pt idx="2">
                  <c:v>'25.04</c:v>
                </c:pt>
                <c:pt idx="3">
                  <c:v>'25.05</c:v>
                </c:pt>
                <c:pt idx="4">
                  <c:v>'25.06</c:v>
                </c:pt>
                <c:pt idx="5">
                  <c:v>'25.07</c:v>
                </c:pt>
                <c:pt idx="6">
                  <c:v>'25.08</c:v>
                </c:pt>
                <c:pt idx="7">
                  <c:v>'25.09</c:v>
                </c:pt>
                <c:pt idx="8">
                  <c:v>'25.10</c:v>
                </c:pt>
                <c:pt idx="9">
                  <c:v>'25.11</c:v>
                </c:pt>
                <c:pt idx="10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1"/>
                <c:pt idx="0">
                  <c:v>'25.02</c:v>
                </c:pt>
                <c:pt idx="1">
                  <c:v>'25.03</c:v>
                </c:pt>
                <c:pt idx="2">
                  <c:v>'25.04</c:v>
                </c:pt>
                <c:pt idx="3">
                  <c:v>'25.05</c:v>
                </c:pt>
                <c:pt idx="4">
                  <c:v>'25.06</c:v>
                </c:pt>
                <c:pt idx="5">
                  <c:v>'25.07</c:v>
                </c:pt>
                <c:pt idx="6">
                  <c:v>'25.08</c:v>
                </c:pt>
                <c:pt idx="7">
                  <c:v>'25.09</c:v>
                </c:pt>
                <c:pt idx="8">
                  <c:v>'25.10</c:v>
                </c:pt>
                <c:pt idx="9">
                  <c:v>'25.11</c:v>
                </c:pt>
                <c:pt idx="10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P21" sqref="P21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</row>
    <row r="3" spans="2:14" ht="7.5" customHeight="1" x14ac:dyDescent="0.35"/>
    <row r="4" spans="2:14" ht="27.75" customHeight="1" x14ac:dyDescent="0.35">
      <c r="B4" s="61" t="s">
        <v>1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</row>
    <row r="5" spans="2:14" ht="27.75" customHeight="1" x14ac:dyDescent="0.35">
      <c r="B5" s="52" t="s">
        <v>56</v>
      </c>
      <c r="C5" s="38"/>
      <c r="D5" s="38"/>
      <c r="E5" s="38"/>
      <c r="F5" s="38"/>
      <c r="G5" s="38"/>
      <c r="H5" s="2"/>
      <c r="I5" s="37" t="s">
        <v>57</v>
      </c>
      <c r="J5" s="38"/>
      <c r="K5" s="38"/>
      <c r="L5" s="38"/>
      <c r="M5" s="38"/>
      <c r="N5" s="38"/>
    </row>
    <row r="6" spans="2:14" ht="26.25" customHeight="1" x14ac:dyDescent="0.35">
      <c r="B6" s="63" t="s">
        <v>2</v>
      </c>
      <c r="C6" s="35"/>
      <c r="D6" s="42" t="s">
        <v>55</v>
      </c>
      <c r="E6" s="35"/>
      <c r="F6" s="44" t="s">
        <v>3</v>
      </c>
      <c r="G6" s="35"/>
      <c r="H6" s="2"/>
      <c r="I6" s="63" t="s">
        <v>2</v>
      </c>
      <c r="J6" s="35"/>
      <c r="K6" s="42" t="s">
        <v>4</v>
      </c>
      <c r="L6" s="35"/>
      <c r="M6" s="44" t="s">
        <v>5</v>
      </c>
      <c r="N6" s="35"/>
    </row>
    <row r="7" spans="2:14" ht="26.25" customHeight="1" x14ac:dyDescent="0.35">
      <c r="B7" s="56">
        <v>1962</v>
      </c>
      <c r="C7" s="35"/>
      <c r="D7" s="51">
        <v>1891</v>
      </c>
      <c r="E7" s="35"/>
      <c r="F7" s="59">
        <v>71</v>
      </c>
      <c r="G7" s="35"/>
      <c r="H7" s="2"/>
      <c r="I7" s="56">
        <v>1962</v>
      </c>
      <c r="J7" s="35"/>
      <c r="K7" s="51">
        <v>1865</v>
      </c>
      <c r="L7" s="35"/>
      <c r="M7" s="59">
        <v>71</v>
      </c>
      <c r="N7" s="35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49" t="s">
        <v>6</v>
      </c>
      <c r="C9" s="41"/>
      <c r="D9" s="41"/>
      <c r="E9" s="41"/>
      <c r="F9" s="41"/>
      <c r="G9" s="41"/>
      <c r="H9" s="2"/>
      <c r="I9" s="46" t="s">
        <v>7</v>
      </c>
      <c r="J9" s="41"/>
      <c r="K9" s="41"/>
      <c r="L9" s="41"/>
      <c r="M9" s="41"/>
      <c r="N9" s="35"/>
    </row>
    <row r="10" spans="2:14" ht="21.75" customHeight="1" x14ac:dyDescent="0.35">
      <c r="B10" s="54" t="s">
        <v>8</v>
      </c>
      <c r="C10" s="55"/>
      <c r="D10" s="5" t="s">
        <v>2</v>
      </c>
      <c r="E10" s="5" t="s">
        <v>9</v>
      </c>
      <c r="F10" s="5" t="s">
        <v>3</v>
      </c>
      <c r="G10" s="5" t="s">
        <v>10</v>
      </c>
      <c r="H10" s="2"/>
      <c r="I10" s="5" t="s">
        <v>11</v>
      </c>
      <c r="J10" s="5" t="s">
        <v>12</v>
      </c>
      <c r="K10" s="5" t="s">
        <v>13</v>
      </c>
      <c r="L10" s="5" t="s">
        <v>14</v>
      </c>
      <c r="M10" s="5" t="s">
        <v>15</v>
      </c>
      <c r="N10" s="5" t="s">
        <v>16</v>
      </c>
    </row>
    <row r="11" spans="2:14" ht="21.75" customHeight="1" x14ac:dyDescent="0.35">
      <c r="B11" s="36" t="s">
        <v>17</v>
      </c>
      <c r="C11" s="35"/>
      <c r="D11" s="6"/>
      <c r="E11" s="6"/>
      <c r="F11" s="6"/>
      <c r="G11" s="13" t="str">
        <f t="shared" ref="G11:G16" si="0">IF(E11=0,"-",F11/D11)</f>
        <v>-</v>
      </c>
      <c r="H11" s="2"/>
      <c r="I11" s="18" t="s">
        <v>18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50" t="s">
        <v>19</v>
      </c>
      <c r="C12" s="35"/>
      <c r="D12" s="7"/>
      <c r="E12" s="7"/>
      <c r="F12" s="7"/>
      <c r="G12" s="14" t="str">
        <f t="shared" si="0"/>
        <v>-</v>
      </c>
      <c r="H12" s="2"/>
      <c r="I12" s="19" t="s">
        <v>20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36" t="s">
        <v>21</v>
      </c>
      <c r="C13" s="35"/>
      <c r="D13" s="6"/>
      <c r="E13" s="6"/>
      <c r="F13" s="6"/>
      <c r="G13" s="13" t="str">
        <f t="shared" si="0"/>
        <v>-</v>
      </c>
      <c r="H13" s="2"/>
      <c r="I13" s="18" t="s">
        <v>22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50" t="s">
        <v>23</v>
      </c>
      <c r="C14" s="35"/>
      <c r="D14" s="7"/>
      <c r="E14" s="7"/>
      <c r="F14" s="7"/>
      <c r="G14" s="14" t="str">
        <f t="shared" si="0"/>
        <v>-</v>
      </c>
      <c r="H14" s="2"/>
      <c r="I14" s="19" t="s">
        <v>24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36" t="s">
        <v>25</v>
      </c>
      <c r="C15" s="35"/>
      <c r="D15" s="6"/>
      <c r="E15" s="6"/>
      <c r="F15" s="6"/>
      <c r="G15" s="13" t="str">
        <f t="shared" si="0"/>
        <v>-</v>
      </c>
      <c r="H15" s="2"/>
      <c r="I15" s="18" t="s">
        <v>26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64" t="s">
        <v>27</v>
      </c>
      <c r="C16" s="65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28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27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0" t="s">
        <v>30</v>
      </c>
      <c r="C19" s="41"/>
      <c r="D19" s="41"/>
      <c r="E19" s="41"/>
      <c r="F19" s="41"/>
      <c r="G19" s="35"/>
      <c r="H19" s="3"/>
      <c r="I19" s="40" t="s">
        <v>29</v>
      </c>
      <c r="J19" s="41"/>
      <c r="K19" s="41"/>
      <c r="L19" s="41"/>
      <c r="M19" s="41"/>
      <c r="N19" s="35"/>
    </row>
    <row r="20" spans="1:14" ht="21.75" customHeight="1" x14ac:dyDescent="0.35">
      <c r="B20" s="45" t="s">
        <v>33</v>
      </c>
      <c r="C20" s="35"/>
      <c r="D20" s="45" t="s">
        <v>34</v>
      </c>
      <c r="E20" s="35"/>
      <c r="F20" s="45" t="s">
        <v>35</v>
      </c>
      <c r="G20" s="35"/>
      <c r="H20" s="3"/>
      <c r="I20" s="45" t="s">
        <v>31</v>
      </c>
      <c r="J20" s="35"/>
      <c r="K20" s="45" t="s">
        <v>12</v>
      </c>
      <c r="L20" s="35"/>
      <c r="M20" s="45" t="s">
        <v>32</v>
      </c>
      <c r="N20" s="35"/>
    </row>
    <row r="21" spans="1:14" ht="21.75" customHeight="1" x14ac:dyDescent="0.35">
      <c r="B21" s="36" t="s">
        <v>36</v>
      </c>
      <c r="C21" s="35"/>
      <c r="D21" s="43"/>
      <c r="E21" s="35"/>
      <c r="F21" s="43"/>
      <c r="G21" s="35"/>
      <c r="H21" s="3"/>
      <c r="I21" s="50" t="s">
        <v>37</v>
      </c>
      <c r="J21" s="35"/>
      <c r="K21" s="58"/>
      <c r="L21" s="35"/>
      <c r="M21" s="57" t="str">
        <f>IF(K23=0,"-",K21/K23)</f>
        <v>-</v>
      </c>
      <c r="N21" s="35"/>
    </row>
    <row r="22" spans="1:14" ht="21.75" customHeight="1" x14ac:dyDescent="0.35">
      <c r="B22" s="50" t="s">
        <v>38</v>
      </c>
      <c r="C22" s="35"/>
      <c r="D22" s="58"/>
      <c r="E22" s="35"/>
      <c r="F22" s="58"/>
      <c r="G22" s="35"/>
      <c r="H22" s="3"/>
      <c r="I22" s="36" t="s">
        <v>39</v>
      </c>
      <c r="J22" s="35"/>
      <c r="K22" s="43"/>
      <c r="L22" s="35"/>
      <c r="M22" s="53" t="str">
        <f>IF(K23=0,"-",K22/K23)</f>
        <v>-</v>
      </c>
      <c r="N22" s="35"/>
    </row>
    <row r="23" spans="1:14" ht="21.75" customHeight="1" x14ac:dyDescent="0.35">
      <c r="B23" s="36" t="s">
        <v>40</v>
      </c>
      <c r="C23" s="35"/>
      <c r="D23" s="43"/>
      <c r="E23" s="35"/>
      <c r="F23" s="43"/>
      <c r="G23" s="35"/>
      <c r="H23" s="3"/>
      <c r="I23" s="34" t="s">
        <v>27</v>
      </c>
      <c r="J23" s="35"/>
      <c r="K23" s="39">
        <f>SUM(K21:L22)</f>
        <v>0</v>
      </c>
      <c r="L23" s="35"/>
      <c r="M23" s="60" t="str">
        <f>IF(K23=0,"-",(K21+K22)/K23)</f>
        <v>-</v>
      </c>
      <c r="N23" s="35"/>
    </row>
    <row r="24" spans="1:14" ht="21.75" customHeight="1" x14ac:dyDescent="0.35">
      <c r="B24" s="34" t="s">
        <v>27</v>
      </c>
      <c r="C24" s="35"/>
      <c r="D24" s="66">
        <f>SUM(D21:E23)</f>
        <v>0</v>
      </c>
      <c r="E24" s="67"/>
      <c r="F24" s="66">
        <f>SUM(F21:G23)</f>
        <v>0</v>
      </c>
      <c r="G24" s="67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32" t="s">
        <v>58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</row>
    <row r="27" spans="1:14" ht="21.75" customHeight="1" x14ac:dyDescent="0.35">
      <c r="A27" s="25"/>
      <c r="B27" s="27" t="s">
        <v>59</v>
      </c>
      <c r="C27" s="26" t="s">
        <v>41</v>
      </c>
      <c r="D27" s="26" t="s">
        <v>42</v>
      </c>
      <c r="E27" s="26" t="s">
        <v>43</v>
      </c>
      <c r="F27" s="26" t="s">
        <v>44</v>
      </c>
      <c r="G27" s="26" t="s">
        <v>45</v>
      </c>
      <c r="H27" s="26" t="s">
        <v>46</v>
      </c>
      <c r="I27" s="26" t="s">
        <v>47</v>
      </c>
      <c r="J27" s="26" t="s">
        <v>48</v>
      </c>
      <c r="K27" s="26" t="s">
        <v>49</v>
      </c>
      <c r="L27" s="26" t="s">
        <v>50</v>
      </c>
      <c r="M27" s="26" t="s">
        <v>51</v>
      </c>
      <c r="N27" s="26" t="s">
        <v>52</v>
      </c>
    </row>
    <row r="28" spans="1:14" ht="39" customHeight="1" x14ac:dyDescent="0.35">
      <c r="A28" s="25"/>
      <c r="B28" s="28" t="s">
        <v>60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9" t="s">
        <v>53</v>
      </c>
      <c r="C29" s="11" t="s">
        <v>54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30" t="s">
        <v>61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1" t="s">
        <v>53</v>
      </c>
      <c r="C31" s="12" t="s">
        <v>54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4:N4"/>
    <mergeCell ref="K7:L7"/>
    <mergeCell ref="F20:G20"/>
    <mergeCell ref="B7:C7"/>
    <mergeCell ref="M7:N7"/>
    <mergeCell ref="B6:C6"/>
    <mergeCell ref="F6:G6"/>
    <mergeCell ref="D6:E6"/>
    <mergeCell ref="I6:J6"/>
    <mergeCell ref="B16:C16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F7:G7"/>
    <mergeCell ref="B12:C12"/>
    <mergeCell ref="I19:N19"/>
    <mergeCell ref="B2:N2"/>
    <mergeCell ref="B9:G9"/>
    <mergeCell ref="M20:N20"/>
    <mergeCell ref="I22:J22"/>
    <mergeCell ref="B14:C14"/>
    <mergeCell ref="D23:E23"/>
    <mergeCell ref="F23:G23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2026-03-17T00:57:55Z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ZUMDg6MzA6MzVaIiwicElEIjoyMDQ4LCJ0cmFjZUlkIjoiOUI5MUUxRjFFRUY3NDc4MkI2MTYxNTg3RTY2RUY5QzgiLCJ1c2VyQ29kZSI6ImxpbWp0In0sIm5vZGUyIjp7ImRzZCI6IjAxMDAwMDAwMDAwMDI1OTIiLCJsb2dUaW1lIjoiMjAyNi0wMy0xN1QwMDozNDo0OVoiLCJwSUQiOjEsInRyYWNlSWQiOiI2MzI2QjE3NjY2RjE0RTAzQjQ1OUY3RTNEMUQwQzI4QSIsInVzZXJDb2RlIjoibGltanQifSwibm9kZTMiOnsiZHNkIjoiMDAwMDAwMDAwMDAwMDAwMCIsImxvZ1RpbWUiOiIyMDI2LTAzLTE3VDAwOjM3OjA5WiIsInBJRCI6MjA0OCwidHJhY2VJZCI6IkJFRUYyN0YxRkQ0MzRFMjY5NTUyRkRGQ0UwRUI1OEMyIiwidXNlckNvZGUiOiJsaW1qdCJ9LCJub2RlNCI6eyJkc2QiOiIwMTAwMDAwMDAwMDAyNTkyIiwibG9nVGltZSI6IjIwMjYtMDMtMTdUMDA6NTc6MTVaIiwicElEIjoxLCJ0cmFjZUlkIjoiQzA0REQyQzIxNjkyNDBEMjgwNEM3ODE1RjNDMzNBMDYiLCJ1c2VyQ29kZSI6ImxpbWp0In0sIm5vZGU1Ijp7ImRzZCI6IjAwMDAwMDAwMDAwMDAwMDAiLCJsb2dUaW1lIjoiMjAyNi0wMy0xN1QwMDo1ODoxNFoiLCJwSUQiOjIwNDgsInRyYWNlSWQiOiIwM0Y5ODlCMTg1QUY0MzIxODRDNUQxQzA5MzYyREE1QSIsInVzZXJDb2RlIjoibGltanQifSwibm9kZUNvdW50Ijo4fQ==</vt:lpwstr>
  </property>
</Properties>
</file>